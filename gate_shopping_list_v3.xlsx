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&quot; kr&quot;"/>
    <numFmt numFmtId="165" formatCode="&quot;save  &quot;#,##0&quot; kr&quot;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C3E50"/>
      <sz val="14"/>
    </font>
    <font>
      <name val="Arial"/>
      <charset val="1"/>
      <family val="0"/>
      <i val="1"/>
      <color rgb="FF7F8C8D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ECF0F1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563C1"/>
      <sz val="8"/>
      <u val="single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7AE60"/>
      <sz val="10"/>
    </font>
    <font>
      <name val="Arial"/>
      <charset val="1"/>
      <family val="0"/>
      <color rgb="FF7F8C8D"/>
      <sz val="9"/>
    </font>
    <font>
      <name val="Arial"/>
      <charset val="1"/>
      <family val="0"/>
      <color rgb="FF27AE60"/>
      <sz val="9"/>
    </font>
    <font>
      <name val="Arial"/>
      <charset val="1"/>
      <family val="0"/>
      <b val="1"/>
      <color rgb="FF2C3E50"/>
      <sz val="11"/>
    </font>
  </fonts>
  <fills count="11">
    <fill>
      <patternFill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E8F0FE"/>
        <bgColor rgb="FFECF0F1"/>
      </patternFill>
    </fill>
    <fill>
      <patternFill patternType="solid">
        <fgColor rgb="FFFFF3E0"/>
        <bgColor rgb="FFFFF9C4"/>
      </patternFill>
    </fill>
    <fill>
      <patternFill patternType="solid">
        <fgColor rgb="FFE8F5E9"/>
        <bgColor rgb="FFECF0F1"/>
      </patternFill>
    </fill>
    <fill>
      <patternFill patternType="solid">
        <fgColor rgb="FFF8F9FA"/>
        <bgColor rgb="FFFFFFFF"/>
      </patternFill>
    </fill>
    <fill>
      <patternFill patternType="solid">
        <fgColor rgb="FF1ABC9C"/>
        <bgColor rgb="FF27AE60"/>
      </patternFill>
    </fill>
    <fill>
      <patternFill patternType="solid">
        <fgColor rgb="FFD5F5E3"/>
        <bgColor rgb="FFE8F5E9"/>
      </patternFill>
    </fill>
    <fill>
      <patternFill patternType="solid">
        <fgColor rgb="FFFFF9C4"/>
        <bgColor rgb="FFFFF3E0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13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right" vertical="center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13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right" vertical="center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9C4"/>
      <rgbColor rgb="FFE8F5E9"/>
      <rgbColor rgb="FF660066"/>
      <rgbColor rgb="FFFF8080"/>
      <rgbColor rgb="FF0563C1"/>
      <rgbColor rgb="FFECF0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5F5E3"/>
      <rgbColor rgb="FFFFF3E0"/>
      <rgbColor rgb="FF99CCFF"/>
      <rgbColor rgb="FFFF99CC"/>
      <rgbColor rgb="FFCC99FF"/>
      <rgbColor rgb="FFF8F9FA"/>
      <rgbColor rgb="FF3366FF"/>
      <rgbColor rgb="FF1ABC9C"/>
      <rgbColor rgb="FF99CC00"/>
      <rgbColor rgb="FFFFCC00"/>
      <rgbColor rgb="FFFF9900"/>
      <rgbColor rgb="FFFF6600"/>
      <rgbColor rgb="FF555555"/>
      <rgbColor rgb="FF96969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bauhaus.dk/froslev-reglar-fyr-hovlet-a-b-45x95x2400-mm" TargetMode="External" Id="rId1"/><Relationship Type="http://schemas.openxmlformats.org/officeDocument/2006/relationships/hyperlink" Target="https://www.silvan.dk/produkt/froeslev-reglar-45x95-mm-trykimpraegneret-hoevlet-7710-9850952" TargetMode="External" Id="rId2"/><Relationship Type="http://schemas.openxmlformats.org/officeDocument/2006/relationships/hyperlink" Target="https://www.jemogfix.dk/impraegneret-reglar-45-x-95-x-2400-mm/4310/9057358/" TargetMode="External" Id="rId3"/><Relationship Type="http://schemas.openxmlformats.org/officeDocument/2006/relationships/hyperlink" Target="https://www.bauhaus.dk/froslev-hegnsbraedder-1800x100x16-mm" TargetMode="External" Id="rId4"/><Relationship Type="http://schemas.openxmlformats.org/officeDocument/2006/relationships/hyperlink" Target="https://www.silvan.dk/ft-braedder-trykimpraegneret-gran-100-mm-1800-mm-16-mm?id=7710-9805872" TargetMode="External" Id="rId5"/><Relationship Type="http://schemas.openxmlformats.org/officeDocument/2006/relationships/hyperlink" Target="https://www.jemogfix.dk/imp-ru-braedder-16-x-100-x-1800-mm/4310/9057351/" TargetMode="External" Id="rId6"/><Relationship Type="http://schemas.openxmlformats.org/officeDocument/2006/relationships/hyperlink" Target="https://www.bauhaus.dk/froslev-hegnsbraedder-1800x100x16-mm" TargetMode="External" Id="rId7"/><Relationship Type="http://schemas.openxmlformats.org/officeDocument/2006/relationships/hyperlink" Target="https://www.silvan.dk/ft-braedder-trykimpraegneret-gran-100-mm-1800-mm-16-mm?id=7710-9805872" TargetMode="External" Id="rId8"/><Relationship Type="http://schemas.openxmlformats.org/officeDocument/2006/relationships/hyperlink" Target="https://www.jemogfix.dk/imp-ru-braedder-16-x-100-x-1800-mm/4310/9057351/" TargetMode="External" Id="rId9"/><Relationship Type="http://schemas.openxmlformats.org/officeDocument/2006/relationships/hyperlink" Target="https://www.bauhaus.dk/froeslev-forskalling-hoevlet-flere-stoerrelser" TargetMode="External" Id="rId10"/><Relationship Type="http://schemas.openxmlformats.org/officeDocument/2006/relationships/hyperlink" Target="https://www.silvan.dk/produkt/froeslev-forskallingsbraet-15x95x1800-mm-trykimpraegneret-hoevlet-7710-9421711" TargetMode="External" Id="rId11"/><Relationship Type="http://schemas.openxmlformats.org/officeDocument/2006/relationships/hyperlink" Target="https://www.jemogfix.dk/imp-hoevlet-fyr-19-x-100-x-3000-mm-15-x-95-mm/4310/9057346/" TargetMode="External" Id="rId12"/><Relationship Type="http://schemas.openxmlformats.org/officeDocument/2006/relationships/hyperlink" Target="https://www.bauhaus.dk/pn-t-haengsel-12-galvaniseret-310-mm" TargetMode="External" Id="rId13"/><Relationship Type="http://schemas.openxmlformats.org/officeDocument/2006/relationships/hyperlink" Target="https://www.silvan.dk/produkt/pn-beslag-t-haengsel-varmforzinket-h-100-2740-1647411" TargetMode="External" Id="rId14"/><Relationship Type="http://schemas.openxmlformats.org/officeDocument/2006/relationships/hyperlink" Target="https://www.jemogfix.dk/t-haengsel-300-mm-galvaniseret/5100/9052868/" TargetMode="External" Id="rId15"/><Relationship Type="http://schemas.openxmlformats.org/officeDocument/2006/relationships/hyperlink" Target="https://www.bauhaus.dk/pn-dorgreb-til-stald-26-50-mm" TargetMode="External" Id="rId16"/><Relationship Type="http://schemas.openxmlformats.org/officeDocument/2006/relationships/hyperlink" Target="https://www.silvan.dk/produkt/plus-stalddoersgreb-16-cm-5700-8388746" TargetMode="External" Id="rId17"/><Relationship Type="http://schemas.openxmlformats.org/officeDocument/2006/relationships/hyperlink" Target="https://www.jemogfix.dk/stalddoersgreb-til-doere-paa-40-90-mm/5100/9052881/" TargetMode="External" Id="rId18"/><Relationship Type="http://schemas.openxmlformats.org/officeDocument/2006/relationships/hyperlink" Target="https://www.bauhaus.dk/pn-skudrigle-130-mm-galvaniseret" TargetMode="External" Id="rId19"/><Relationship Type="http://schemas.openxmlformats.org/officeDocument/2006/relationships/hyperlink" Target="https://www.silvan.dk/produkt/pn-beslag-skudrigel-elforzinket-b-45-x-l-157-mm-2740-8001133" TargetMode="External" Id="rId20"/><Relationship Type="http://schemas.openxmlformats.org/officeDocument/2006/relationships/hyperlink" Target="https://www.jemogfix.dk/skudrigle-150-mm/5109/9052891/" TargetMode="External" Id="rId21"/><Relationship Type="http://schemas.openxmlformats.org/officeDocument/2006/relationships/hyperlink" Target="https://www.bauhaus.dk/vormann-vinkeljern-40x40x15-mm-galvaniseret-stal-12-stk" TargetMode="External" Id="rId22"/><Relationship Type="http://schemas.openxmlformats.org/officeDocument/2006/relationships/hyperlink" Target="https://www.silvan.dk/produkt/magnodur-vinkelbeslag-40-x-40-x-20-mm-2741-9725802" TargetMode="External" Id="rId23"/><Relationship Type="http://schemas.openxmlformats.org/officeDocument/2006/relationships/hyperlink" Target="https://www.jemogfix.dk/beslag-til-havelaage/5109/9045542/" TargetMode="External" Id="rId24"/><Relationship Type="http://schemas.openxmlformats.org/officeDocument/2006/relationships/hyperlink" Target="https://www.bauhaus.dk/spunskrue-lh-rustfri-4-0x40-mm-200-stk" TargetMode="External" Id="rId25"/><Relationship Type="http://schemas.openxmlformats.org/officeDocument/2006/relationships/hyperlink" Target="https://www.silvan.dk/produkt/magnodur-universalskruer-inkl-bit-rustfrit-staal-oe40x40-mm-250-stk-2701-9848194" TargetMode="External" Id="rId26"/><Relationship Type="http://schemas.openxmlformats.org/officeDocument/2006/relationships/hyperlink" Target="https://www.jemogfix.dk/nkt-fasteners-spunplus-spunskrue-rustfri-a4-4-0-x-40-mm-300-stk/5111/9040074/" TargetMode="External" Id="rId27"/><Relationship Type="http://schemas.openxmlformats.org/officeDocument/2006/relationships/hyperlink" Target="https://www.bauhaus.dk/spunskrue-rustfri-4-5x50-35-mm-200-stk" TargetMode="External" Id="rId28"/><Relationship Type="http://schemas.openxmlformats.org/officeDocument/2006/relationships/hyperlink" Target="https://www.silvan.dk/produkt/spaanpladeskruer-m-2-bits-rustfri-a2-45x50-mm-2701-9668665" TargetMode="External" Id="rId29"/><Relationship Type="http://schemas.openxmlformats.org/officeDocument/2006/relationships/hyperlink" Target="https://www.jemogfix.dk/nkt-fasteners-spunplus-climate-skrue-4-5-x-50-mm-200-stk/5111/9000946/" TargetMode="External" Id="rId30"/><Relationship Type="http://schemas.openxmlformats.org/officeDocument/2006/relationships/hyperlink" Target="https://www.bauhaus.dk/ibf-betonflise-gra-40-x-40-x-6-cm" TargetMode="External" Id="rId31"/><Relationship Type="http://schemas.openxmlformats.org/officeDocument/2006/relationships/hyperlink" Target="https://www.silvan.dk/produkt/rbr-nordic-line-haveflise-40x40x5-cm-graa-6300-5349104" TargetMode="External" Id="rId32"/><Relationship Type="http://schemas.openxmlformats.org/officeDocument/2006/relationships/hyperlink" Target="https://www.jemogfix.dk/haveflise-nordic-line-graa-40-x-40-x-5-cm/4176/9017292/" TargetMode="External" Id="rId33"/><Relationship Type="http://schemas.openxmlformats.org/officeDocument/2006/relationships/hyperlink" Target="https://www.bauhaus.dk/nordic-play-jordanker-32-cm-4-stk" TargetMode="External" Id="rId34"/><Relationship Type="http://schemas.openxmlformats.org/officeDocument/2006/relationships/hyperlink" Target="https://www.silvan.dk/produkt/stolpespyd-76x76-cm-staal-2720-2118419" TargetMode="External" Id="rId35"/><Relationship Type="http://schemas.openxmlformats.org/officeDocument/2006/relationships/hyperlink" Target="https://www.jemogfix.dk/jordspyd-mholder-galvaniseret-staal/5101/9078974/" TargetMode="External" Id="rId36"/><Relationship Type="http://schemas.openxmlformats.org/officeDocument/2006/relationships/hyperlink" Target="https://www.bauhaus.dk/stabilit-wire-fz-2-mm-pr-m" TargetMode="External" Id="rId37"/><Relationship Type="http://schemas.openxmlformats.org/officeDocument/2006/relationships/hyperlink" Target="https://www.silvan.dk/produkt/pn-beslag-wire-elforzinket-staal-2-mm-x-10-m-2721-1797278" TargetMode="External" Id="rId38"/><Relationship Type="http://schemas.openxmlformats.org/officeDocument/2006/relationships/hyperlink" Target="https://www.jemogfix.dk/staalwire-2-mm-x-10-meter/5131/9052827/" TargetMode="External" Id="rId39"/><Relationship Type="http://schemas.openxmlformats.org/officeDocument/2006/relationships/hyperlink" Target="https://www.bauhaus.dk/probau-byggefolie-oko-2x50-m" TargetMode="External" Id="rId40"/><Relationship Type="http://schemas.openxmlformats.org/officeDocument/2006/relationships/hyperlink" Target="https://www.silvan.dk/produkt/dampspaerre-plast-02x2000x25000-mm-5102-9856092" TargetMode="External" Id="rId41"/><Relationship Type="http://schemas.openxmlformats.org/officeDocument/2006/relationships/hyperlink" Target="https://www.jemogfix.dk/plastfolie-transparent-0-2-mm-2-x-10-m/4214/9011831/" TargetMode="External" Id="rId42"/><Relationship Type="http://schemas.openxmlformats.org/officeDocument/2006/relationships/hyperlink" Target="https://www.bauhaus.dk/gardol-plantejord-40-l" TargetMode="External" Id="rId43"/><Relationship Type="http://schemas.openxmlformats.org/officeDocument/2006/relationships/hyperlink" Target="https://www.silvan.dk/produkt/weibulls-plantejord-40-l-7280-2007283" TargetMode="External" Id="rId44"/><Relationship Type="http://schemas.openxmlformats.org/officeDocument/2006/relationships/hyperlink" Target="https://www.jemogfix.dk/plantesaek-40-liter-groenne-fingre/2180/9037452/" TargetMode="External" Id="rId4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8" min="1" max="1"/>
    <col width="34" customWidth="1" style="28" min="2" max="2"/>
    <col width="28" customWidth="1" style="28" min="3" max="3"/>
    <col width="5" customWidth="1" style="28" min="4" max="4"/>
    <col width="6" customWidth="1" style="28" min="5" max="5"/>
    <col width="8" customWidth="1" style="28" min="6" max="11"/>
    <col width="36" customWidth="1" style="28" min="12" max="14"/>
    <col width="44" customWidth="1" style="28" min="15" max="15"/>
  </cols>
  <sheetData>
    <row r="1" ht="27.75" customHeight="1" s="29">
      <c r="A1" s="30" t="inlineStr">
        <is>
          <t>PLANTER BOX GATE — Complete Shopping List (120cm tall)</t>
        </is>
      </c>
    </row>
    <row r="2" ht="18" customHeight="1" s="29">
      <c r="A2" s="31" t="inlineStr">
        <is>
          <t>3 stores on Industrivej, Roskilde: Bauhaus (#52) · Silvan (#26) · Jem &amp; Fix (#24)  |  Prices est. Feb 2026</t>
        </is>
      </c>
    </row>
    <row r="3" ht="31.5" customHeight="1" s="29">
      <c r="A3" s="32" t="inlineStr">
        <is>
          <t>#</t>
        </is>
      </c>
      <c r="B3" s="32" t="inlineStr">
        <is>
          <t>Item</t>
        </is>
      </c>
      <c r="C3" s="32" t="inlineStr">
        <is>
          <t>Purpose</t>
        </is>
      </c>
      <c r="D3" s="32" t="inlineStr">
        <is>
          <t>Qty</t>
        </is>
      </c>
      <c r="E3" s="32" t="inlineStr">
        <is>
          <t>Unit</t>
        </is>
      </c>
      <c r="F3" s="32" t="inlineStr">
        <is>
          <t>Bauhaus
/each</t>
        </is>
      </c>
      <c r="G3" s="32" t="inlineStr">
        <is>
          <t>Bauhaus
Total</t>
        </is>
      </c>
      <c r="H3" s="32" t="inlineStr">
        <is>
          <t>Silvan
/each</t>
        </is>
      </c>
      <c r="I3" s="32" t="inlineStr">
        <is>
          <t>Silvan
Total</t>
        </is>
      </c>
      <c r="J3" s="32" t="inlineStr">
        <is>
          <t>Jem&amp;Fix
/each</t>
        </is>
      </c>
      <c r="K3" s="32" t="inlineStr">
        <is>
          <t>Jem&amp;Fix
Total</t>
        </is>
      </c>
      <c r="L3" s="32" t="inlineStr">
        <is>
          <t>Link: Bauhaus</t>
        </is>
      </c>
      <c r="M3" s="32" t="inlineStr">
        <is>
          <t>Link: Silvan</t>
        </is>
      </c>
      <c r="N3" s="32" t="inlineStr">
        <is>
          <t>Link: Jem &amp; Fix</t>
        </is>
      </c>
      <c r="O3" s="32" t="inlineStr">
        <is>
          <t>Notes &amp; Cut Plan</t>
        </is>
      </c>
    </row>
    <row r="4" ht="21.75" customHeight="1" s="29">
      <c r="A4" s="33" t="inlineStr">
        <is>
          <t>FRAME LUMBER (Reglar 45×95mm trykimp.)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5" t="n"/>
    </row>
    <row r="5" ht="42" customHeight="1" s="29">
      <c r="A5" s="36" t="n">
        <v>1</v>
      </c>
      <c r="B5" s="37" t="inlineStr">
        <is>
          <t>Reglar trykimp. 45×95×2400mm</t>
        </is>
      </c>
      <c r="C5" s="38" t="inlineStr">
        <is>
          <t>Corner posts (×8) + gate frame</t>
        </is>
      </c>
      <c r="D5" s="36" t="n">
        <v>15</v>
      </c>
      <c r="E5" s="36" t="inlineStr">
        <is>
          <t>pcs</t>
        </is>
      </c>
      <c r="F5" s="39" t="n">
        <v>53</v>
      </c>
      <c r="G5" s="39">
        <f>D5*F5</f>
        <v/>
      </c>
      <c r="H5" s="40" t="n">
        <v>48</v>
      </c>
      <c r="I5" s="40">
        <f>D5*H5</f>
        <v/>
      </c>
      <c r="J5" s="41" t="n">
        <v>36</v>
      </c>
      <c r="K5" s="41">
        <f>D5*J5</f>
        <v/>
      </c>
      <c r="L5" s="42" t="inlineStr">
        <is>
          <t>https://www.bauhaus.dk/froslev-reglar-fyr-hovlet-a-b-45x95x2400-mm</t>
        </is>
      </c>
      <c r="M5" s="43" t="inlineStr">
        <is>
          <t>https://www.silvan.dk/produkt/froeslev-reglar-45x95-mm-trykimpraegneret-hoevlet-7710-9850952</t>
        </is>
      </c>
      <c r="N5" s="44" t="inlineStr">
        <is>
          <t>https://www.jemogfix.dk/impraegneret-reglar-45-x-95-x-2400-mm/4310/9057358/</t>
        </is>
      </c>
      <c r="O5" s="45" t="inlineStr">
        <is>
          <t>CUT: 1×1200mm + 1×1200mm per board (zero waste!). Shortest stocked length = 2400mm. Sticks out ~60cm in V70 with tailgate open — tie a red flag on it.</t>
        </is>
      </c>
    </row>
    <row r="6" ht="21.75" customHeight="1" s="29">
      <c r="A6" s="33" t="inlineStr">
        <is>
          <t>CLADDING BOARDS (Hegnsbrædder 16×100mm trykimp.)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5" t="n"/>
    </row>
    <row r="7" ht="42" customHeight="1" s="29">
      <c r="A7" s="46" t="n">
        <v>2</v>
      </c>
      <c r="B7" s="47" t="inlineStr">
        <is>
          <t>Hegnsbrædder 16×100×1800mm</t>
        </is>
      </c>
      <c r="C7" s="48" t="inlineStr">
        <is>
          <t>Planter cladding (4 sides × 2)</t>
        </is>
      </c>
      <c r="D7" s="46" t="n">
        <v>24</v>
      </c>
      <c r="E7" s="46" t="inlineStr">
        <is>
          <t>pcs</t>
        </is>
      </c>
      <c r="F7" s="39" t="n">
        <v>12</v>
      </c>
      <c r="G7" s="39">
        <f>D7*F7</f>
        <v/>
      </c>
      <c r="H7" s="40" t="n">
        <v>13</v>
      </c>
      <c r="I7" s="40">
        <f>D7*H7</f>
        <v/>
      </c>
      <c r="J7" s="41" t="n">
        <v>11</v>
      </c>
      <c r="K7" s="41">
        <f>D7*J7</f>
        <v/>
      </c>
      <c r="L7" s="42" t="inlineStr">
        <is>
          <t>https://www.bauhaus.dk/froslev-hegnsbraedder-1800x100x16-mm</t>
        </is>
      </c>
      <c r="M7" s="43" t="inlineStr">
        <is>
          <t>https://www.silvan.dk/ft-braedder-trykimpraegneret-gran-100-mm-1800-mm-16-mm?id=7710-9805872</t>
        </is>
      </c>
      <c r="N7" s="44" t="inlineStr">
        <is>
          <t>https://www.jemogfix.dk/imp-ru-braedder-16-x-100-x-1800-mm/4310/9057351/</t>
        </is>
      </c>
      <c r="O7" s="49" t="inlineStr">
        <is>
          <t>CUT: each to 1200mm. 4 faces × 3 boards × 2 boxes = 24. These fit the V70 perfectly at 1800mm.</t>
        </is>
      </c>
    </row>
    <row r="8" ht="21.75" customHeight="1" s="29">
      <c r="A8" s="33" t="inlineStr">
        <is>
          <t>GATE PICKETS (22×70mm or use 16×100mm above)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5" t="n"/>
    </row>
    <row r="9" ht="42" customHeight="1" s="29">
      <c r="A9" s="36" t="n">
        <v>3</v>
      </c>
      <c r="B9" s="37" t="inlineStr">
        <is>
          <t>Hegnsbrædder 16×100×1800mm</t>
        </is>
      </c>
      <c r="C9" s="38" t="inlineStr">
        <is>
          <t>Gate pickets (alt. to 22×70)</t>
        </is>
      </c>
      <c r="D9" s="36" t="n">
        <v>14</v>
      </c>
      <c r="E9" s="36" t="inlineStr">
        <is>
          <t>pcs</t>
        </is>
      </c>
      <c r="F9" s="39" t="n">
        <v>12</v>
      </c>
      <c r="G9" s="39">
        <f>D9*F9</f>
        <v/>
      </c>
      <c r="H9" s="40" t="n">
        <v>13</v>
      </c>
      <c r="I9" s="40">
        <f>D9*H9</f>
        <v/>
      </c>
      <c r="J9" s="41" t="n">
        <v>11</v>
      </c>
      <c r="K9" s="41">
        <f>D9*J9</f>
        <v/>
      </c>
      <c r="L9" s="42" t="inlineStr">
        <is>
          <t>https://www.bauhaus.dk/froslev-hegnsbraedder-1800x100x16-mm</t>
        </is>
      </c>
      <c r="M9" s="43" t="inlineStr">
        <is>
          <t>https://www.silvan.dk/ft-braedder-trykimpraegneret-gran-100-mm-1800-mm-16-mm?id=7710-9805872</t>
        </is>
      </c>
      <c r="N9" s="44" t="inlineStr">
        <is>
          <t>https://www.jemogfix.dk/imp-ru-braedder-16-x-100-x-1800-mm/4310/9057351/</t>
        </is>
      </c>
      <c r="O9" s="45" t="inlineStr">
        <is>
          <t>CUT: each to 1200mm. Using same 16×100 cladding as pickets — simpler shopping. 14 pickets with ~5cm gaps = toddler safe.</t>
        </is>
      </c>
    </row>
    <row r="10" ht="21.75" customHeight="1" s="29">
      <c r="A10" s="33" t="inlineStr">
        <is>
          <t>PLATFORM / SHELF BOARDS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5" t="n"/>
    </row>
    <row r="11" ht="42" customHeight="1" s="29">
      <c r="A11" s="46" t="n">
        <v>4</v>
      </c>
      <c r="B11" s="47" t="inlineStr">
        <is>
          <t>Forskallingsbræt 15×95×1800mm høvl.</t>
        </is>
      </c>
      <c r="C11" s="48" t="inlineStr">
        <is>
          <t>Shelf inside planters</t>
        </is>
      </c>
      <c r="D11" s="46" t="n">
        <v>2</v>
      </c>
      <c r="E11" s="46" t="inlineStr">
        <is>
          <t>pcs</t>
        </is>
      </c>
      <c r="F11" s="39" t="n">
        <v>40</v>
      </c>
      <c r="G11" s="39">
        <f>D11*F11</f>
        <v/>
      </c>
      <c r="H11" s="40" t="n">
        <v>17</v>
      </c>
      <c r="I11" s="40">
        <f>D11*H11</f>
        <v/>
      </c>
      <c r="J11" s="41" t="n">
        <v>35</v>
      </c>
      <c r="K11" s="41">
        <f>D11*J11</f>
        <v/>
      </c>
      <c r="L11" s="42" t="inlineStr">
        <is>
          <t>https://www.bauhaus.dk/froeslev-forskalling-hoevlet-flere-stoerrelser</t>
        </is>
      </c>
      <c r="M11" s="43" t="inlineStr">
        <is>
          <t>https://www.silvan.dk/produkt/froeslev-forskallingsbraet-15x95x1800-mm-trykimpraegneret-hoevlet-7710-9421711</t>
        </is>
      </c>
      <c r="N11" s="44" t="inlineStr">
        <is>
          <t>https://www.jemogfix.dk/imp-hoevlet-fyr-19-x-100-x-3000-mm-15-x-95-mm/4310/9057346/</t>
        </is>
      </c>
      <c r="O11" s="49" t="inlineStr">
        <is>
          <t>CUT: 6×~310mm shelves from 2 boards. Drill drainage holes! Fits V70.</t>
        </is>
      </c>
    </row>
    <row r="12" ht="21.75" customHeight="1" s="29">
      <c r="A12" s="33" t="inlineStr">
        <is>
          <t>HARDWARE &amp; FITTINGS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5" t="n"/>
    </row>
    <row r="13" ht="42" customHeight="1" s="29">
      <c r="A13" s="36" t="n">
        <v>5</v>
      </c>
      <c r="B13" s="37" t="inlineStr">
        <is>
          <t>T-hængsel 300mm galvaniseret</t>
        </is>
      </c>
      <c r="C13" s="38" t="inlineStr">
        <is>
          <t>Gate hinges</t>
        </is>
      </c>
      <c r="D13" s="36" t="n">
        <v>3</v>
      </c>
      <c r="E13" s="36" t="inlineStr">
        <is>
          <t>pcs</t>
        </is>
      </c>
      <c r="F13" s="39" t="n">
        <v>30</v>
      </c>
      <c r="G13" s="39">
        <f>D13*F13</f>
        <v/>
      </c>
      <c r="H13" s="40" t="n">
        <v>35</v>
      </c>
      <c r="I13" s="40">
        <f>D13*H13</f>
        <v/>
      </c>
      <c r="J13" s="41" t="n">
        <v>25</v>
      </c>
      <c r="K13" s="41">
        <f>D13*J13</f>
        <v/>
      </c>
      <c r="L13" s="42" t="inlineStr">
        <is>
          <t>https://www.bauhaus.dk/pn-t-haengsel-12-galvaniseret-310-mm</t>
        </is>
      </c>
      <c r="M13" s="43" t="inlineStr">
        <is>
          <t>https://www.silvan.dk/produkt/pn-beslag-t-haengsel-varmforzinket-h-100-2740-1647411</t>
        </is>
      </c>
      <c r="N13" s="44" t="inlineStr">
        <is>
          <t>https://www.jemogfix.dk/t-haengsel-300-mm-galvaniseret/5100/9052868/</t>
        </is>
      </c>
      <c r="O13" s="45" t="inlineStr">
        <is>
          <t>3 hinges for 1.2m wide gate. Silvan: search "T-hængsel" in store — link may vary.</t>
        </is>
      </c>
    </row>
    <row r="14" ht="42" customHeight="1" s="29">
      <c r="A14" s="46" t="n">
        <v>6</v>
      </c>
      <c r="B14" s="47" t="inlineStr">
        <is>
          <t>Stalddørsgreb galv. (40-90mm)</t>
        </is>
      </c>
      <c r="C14" s="48" t="inlineStr">
        <is>
          <t>Thumb latch for gate</t>
        </is>
      </c>
      <c r="D14" s="46" t="n">
        <v>1</v>
      </c>
      <c r="E14" s="46" t="inlineStr">
        <is>
          <t>pcs</t>
        </is>
      </c>
      <c r="F14" s="39" t="n">
        <v>60</v>
      </c>
      <c r="G14" s="39">
        <f>D14*F14</f>
        <v/>
      </c>
      <c r="H14" s="40" t="n">
        <v>65</v>
      </c>
      <c r="I14" s="40">
        <f>D14*H14</f>
        <v/>
      </c>
      <c r="J14" s="41" t="n">
        <v>50</v>
      </c>
      <c r="K14" s="41">
        <f>D14*J14</f>
        <v/>
      </c>
      <c r="L14" s="42" t="inlineStr">
        <is>
          <t>https://www.bauhaus.dk/pn-dorgreb-til-stald-26-50-mm</t>
        </is>
      </c>
      <c r="M14" s="43" t="inlineStr">
        <is>
          <t>https://www.silvan.dk/produkt/plus-stalddoersgreb-16-cm-5700-8388746</t>
        </is>
      </c>
      <c r="N14" s="44" t="inlineStr">
        <is>
          <t>https://www.jemogfix.dk/stalddoersgreb-til-doere-paa-40-90-mm/5100/9052881/</t>
        </is>
      </c>
      <c r="O14" s="49" t="inlineStr">
        <is>
          <t>Mount at adult height — out of Arthur's reach. JF link is exact product.</t>
        </is>
      </c>
    </row>
    <row r="15" ht="42" customHeight="1" s="29">
      <c r="A15" s="36" t="n">
        <v>7</v>
      </c>
      <c r="B15" s="37" t="inlineStr">
        <is>
          <t>Skudrigle 150mm galvaniseret</t>
        </is>
      </c>
      <c r="C15" s="38" t="inlineStr">
        <is>
          <t>Bottom slide bolt</t>
        </is>
      </c>
      <c r="D15" s="36" t="n">
        <v>1</v>
      </c>
      <c r="E15" s="36" t="inlineStr">
        <is>
          <t>pcs</t>
        </is>
      </c>
      <c r="F15" s="39" t="n">
        <v>40</v>
      </c>
      <c r="G15" s="39">
        <f>D15*F15</f>
        <v/>
      </c>
      <c r="H15" s="40" t="n">
        <v>45</v>
      </c>
      <c r="I15" s="40">
        <f>D15*H15</f>
        <v/>
      </c>
      <c r="J15" s="41" t="n">
        <v>35</v>
      </c>
      <c r="K15" s="41">
        <f>D15*J15</f>
        <v/>
      </c>
      <c r="L15" s="42" t="inlineStr">
        <is>
          <t>https://www.bauhaus.dk/pn-skudrigle-130-mm-galvaniseret</t>
        </is>
      </c>
      <c r="M15" s="43" t="inlineStr">
        <is>
          <t>https://www.silvan.dk/produkt/pn-beslag-skudrigel-elforzinket-b-45-x-l-157-mm-2740-8001133</t>
        </is>
      </c>
      <c r="N15" s="44" t="inlineStr">
        <is>
          <t>https://www.jemogfix.dk/skudrigle-150-mm/5109/9052891/</t>
        </is>
      </c>
      <c r="O15" s="45" t="inlineStr">
        <is>
          <t>Extra toddler lock at gate bottom. JF link is exact product.</t>
        </is>
      </c>
    </row>
    <row r="16" ht="42" customHeight="1" s="29">
      <c r="A16" s="46" t="n">
        <v>8</v>
      </c>
      <c r="B16" s="47" t="inlineStr">
        <is>
          <t>Vinkelbeslag 40×40mm (2-pack)</t>
        </is>
      </c>
      <c r="C16" s="48" t="inlineStr">
        <is>
          <t>Corner reinforcement</t>
        </is>
      </c>
      <c r="D16" s="46" t="n">
        <v>4</v>
      </c>
      <c r="E16" s="46" t="inlineStr">
        <is>
          <t>pks</t>
        </is>
      </c>
      <c r="F16" s="39" t="n">
        <v>15</v>
      </c>
      <c r="G16" s="39">
        <f>D16*F16</f>
        <v/>
      </c>
      <c r="H16" s="40" t="n">
        <v>18</v>
      </c>
      <c r="I16" s="40">
        <f>D16*H16</f>
        <v/>
      </c>
      <c r="J16" s="41" t="n">
        <v>12</v>
      </c>
      <c r="K16" s="41">
        <f>D16*J16</f>
        <v/>
      </c>
      <c r="L16" s="42" t="inlineStr">
        <is>
          <t>https://www.bauhaus.dk/vormann-vinkeljern-40x40x15-mm-galvaniseret-stal-12-stk</t>
        </is>
      </c>
      <c r="M16" s="43" t="inlineStr">
        <is>
          <t>https://www.silvan.dk/produkt/magnodur-vinkelbeslag-40-x-40-x-20-mm-2741-9725802</t>
        </is>
      </c>
      <c r="N16" s="44" t="inlineStr">
        <is>
          <t>https://www.jemogfix.dk/beslag-til-havelaage/5109/9045542/</t>
        </is>
      </c>
      <c r="O16" s="49" t="inlineStr">
        <is>
          <t>8 brackets total for planter frame corners.</t>
        </is>
      </c>
    </row>
    <row r="17" ht="42" customHeight="1" s="29">
      <c r="A17" s="36" t="n">
        <v>9</v>
      </c>
      <c r="B17" s="37" t="inlineStr">
        <is>
          <t>Skruer rustfri 4.0×40mm (200pk)</t>
        </is>
      </c>
      <c r="C17" s="38" t="inlineStr">
        <is>
          <t>Assembly screws</t>
        </is>
      </c>
      <c r="D17" s="36" t="n">
        <v>1</v>
      </c>
      <c r="E17" s="36" t="inlineStr">
        <is>
          <t>pk</t>
        </is>
      </c>
      <c r="F17" s="39" t="n">
        <v>89</v>
      </c>
      <c r="G17" s="39">
        <f>D17*F17</f>
        <v/>
      </c>
      <c r="H17" s="40" t="n">
        <v>99</v>
      </c>
      <c r="I17" s="40">
        <f>D17*H17</f>
        <v/>
      </c>
      <c r="J17" s="41" t="n">
        <v>79</v>
      </c>
      <c r="K17" s="41">
        <f>D17*J17</f>
        <v/>
      </c>
      <c r="L17" s="42" t="inlineStr">
        <is>
          <t>https://www.bauhaus.dk/spunskrue-lh-rustfri-4-0x40-mm-200-stk</t>
        </is>
      </c>
      <c r="M17" s="43" t="inlineStr">
        <is>
          <t>https://www.silvan.dk/produkt/magnodur-universalskruer-inkl-bit-rustfrit-staal-oe40x40-mm-250-stk-2701-9848194</t>
        </is>
      </c>
      <c r="N17" s="44" t="inlineStr">
        <is>
          <t>https://www.jemogfix.dk/nkt-fasteners-spunplus-spunskrue-rustfri-a4-4-0-x-40-mm-300-stk/5111/9040074/</t>
        </is>
      </c>
      <c r="O17" s="45" t="inlineStr">
        <is>
          <t>For cladding, pickets, shelf boards. Search "rustfri skruer 4×40" in store.</t>
        </is>
      </c>
    </row>
    <row r="18" ht="42" customHeight="1" s="29">
      <c r="A18" s="46" t="n">
        <v>10</v>
      </c>
      <c r="B18" s="47" t="inlineStr">
        <is>
          <t>Skruer rustfri 4.5×50mm (100pk)</t>
        </is>
      </c>
      <c r="C18" s="48" t="inlineStr">
        <is>
          <t>Structural screws</t>
        </is>
      </c>
      <c r="D18" s="46" t="n">
        <v>1</v>
      </c>
      <c r="E18" s="46" t="inlineStr">
        <is>
          <t>pk</t>
        </is>
      </c>
      <c r="F18" s="39" t="n">
        <v>69</v>
      </c>
      <c r="G18" s="39">
        <f>D18*F18</f>
        <v/>
      </c>
      <c r="H18" s="40" t="n">
        <v>75</v>
      </c>
      <c r="I18" s="40">
        <f>D18*H18</f>
        <v/>
      </c>
      <c r="J18" s="41" t="n">
        <v>59</v>
      </c>
      <c r="K18" s="41">
        <f>D18*J18</f>
        <v/>
      </c>
      <c r="L18" s="42" t="inlineStr">
        <is>
          <t>https://www.bauhaus.dk/spunskrue-rustfri-4-5x50-35-mm-200-stk</t>
        </is>
      </c>
      <c r="M18" s="43" t="inlineStr">
        <is>
          <t>https://www.silvan.dk/produkt/spaanpladeskruer-m-2-bits-rustfri-a2-45x50-mm-2701-9668665</t>
        </is>
      </c>
      <c r="N18" s="44" t="inlineStr">
        <is>
          <t>https://www.jemogfix.dk/nkt-fasteners-spunplus-climate-skrue-4-5-x-50-mm-200-stk/5111/9000946/</t>
        </is>
      </c>
      <c r="O18" s="49" t="inlineStr">
        <is>
          <t>For reglar joints and bracket mounting. Search "rustfri skruer 4.5×50" in store.</t>
        </is>
      </c>
    </row>
    <row r="19" ht="21.75" customHeight="1" s="29">
      <c r="A19" s="33" t="inlineStr">
        <is>
          <t>BASE &amp; ANCHORING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5" t="n"/>
    </row>
    <row r="20" ht="42" customHeight="1" s="29">
      <c r="A20" s="36" t="n">
        <v>11</v>
      </c>
      <c r="B20" s="37" t="inlineStr">
        <is>
          <t>Betonflise 40×40×6cm grå</t>
        </is>
      </c>
      <c r="C20" s="38" t="inlineStr">
        <is>
          <t>Base under planters + ballast</t>
        </is>
      </c>
      <c r="D20" s="36" t="n">
        <v>8</v>
      </c>
      <c r="E20" s="36" t="inlineStr">
        <is>
          <t>pcs</t>
        </is>
      </c>
      <c r="F20" s="39" t="n">
        <v>24</v>
      </c>
      <c r="G20" s="39">
        <f>D20*F20</f>
        <v/>
      </c>
      <c r="H20" s="40" t="n">
        <v>16</v>
      </c>
      <c r="I20" s="40">
        <f>D20*H20</f>
        <v/>
      </c>
      <c r="J20" s="41" t="n">
        <v>18</v>
      </c>
      <c r="K20" s="41">
        <f>D20*J20</f>
        <v/>
      </c>
      <c r="L20" s="42" t="inlineStr">
        <is>
          <t>https://www.bauhaus.dk/ibf-betonflise-gra-40-x-40-x-6-cm</t>
        </is>
      </c>
      <c r="M20" s="43" t="inlineStr">
        <is>
          <t>https://www.silvan.dk/produkt/rbr-nordic-line-haveflise-40x40x5-cm-graa-6300-5349104</t>
        </is>
      </c>
      <c r="N20" s="44" t="inlineStr">
        <is>
          <t>https://www.jemogfix.dk/haveflise-nordic-line-graa-40-x-40-x-5-cm/4176/9017292/</t>
        </is>
      </c>
      <c r="O20" s="45" t="inlineStr">
        <is>
          <t>4 under boxes (base) + 4 inside (ballast, ~30kg). JF/Silvan: search "betonflise 40x40" in store.</t>
        </is>
      </c>
    </row>
    <row r="21" ht="42" customHeight="1" s="29">
      <c r="A21" s="46" t="n">
        <v>12</v>
      </c>
      <c r="B21" s="47" t="inlineStr">
        <is>
          <t>Jordanker / ground spike 40cm</t>
        </is>
      </c>
      <c r="C21" s="48" t="inlineStr">
        <is>
          <t>Anchor planters to ground</t>
        </is>
      </c>
      <c r="D21" s="46" t="n">
        <v>4</v>
      </c>
      <c r="E21" s="46" t="inlineStr">
        <is>
          <t>pcs</t>
        </is>
      </c>
      <c r="F21" s="39" t="n">
        <v>45</v>
      </c>
      <c r="G21" s="39">
        <f>D21*F21</f>
        <v/>
      </c>
      <c r="H21" s="40" t="n">
        <v>49</v>
      </c>
      <c r="I21" s="40">
        <f>D21*H21</f>
        <v/>
      </c>
      <c r="J21" s="41" t="n">
        <v>39</v>
      </c>
      <c r="K21" s="41">
        <f>D21*J21</f>
        <v/>
      </c>
      <c r="L21" s="42" t="inlineStr">
        <is>
          <t>https://www.bauhaus.dk/nordic-play-jordanker-32-cm-4-stk</t>
        </is>
      </c>
      <c r="M21" s="43" t="inlineStr">
        <is>
          <t>https://www.silvan.dk/produkt/stolpespyd-76x76-cm-staal-2720-2118419</t>
        </is>
      </c>
      <c r="N21" s="44" t="inlineStr">
        <is>
          <t>https://www.jemogfix.dk/jordspyd-mholder-galvaniseret-staal/5101/9078974/</t>
        </is>
      </c>
      <c r="O21" s="49" t="inlineStr">
        <is>
          <t>One per planter corner. Search "jordanker" or "grounding spike" in store.</t>
        </is>
      </c>
    </row>
    <row r="22" ht="42" customHeight="1" s="29">
      <c r="A22" s="36" t="n">
        <v>13</v>
      </c>
      <c r="B22" s="37" t="inlineStr">
        <is>
          <t>Steel wire 2mm / ratchet strap</t>
        </is>
      </c>
      <c r="C22" s="38" t="inlineStr">
        <is>
          <t>Connect anchors to boxes</t>
        </is>
      </c>
      <c r="D22" s="36" t="n">
        <v>1</v>
      </c>
      <c r="E22" s="36" t="inlineStr">
        <is>
          <t>pcs</t>
        </is>
      </c>
      <c r="F22" s="39" t="n">
        <v>35</v>
      </c>
      <c r="G22" s="39">
        <f>D22*F22</f>
        <v/>
      </c>
      <c r="H22" s="40" t="n">
        <v>40</v>
      </c>
      <c r="I22" s="40">
        <f>D22*H22</f>
        <v/>
      </c>
      <c r="J22" s="41" t="n">
        <v>30</v>
      </c>
      <c r="K22" s="41">
        <f>D22*J22</f>
        <v/>
      </c>
      <c r="L22" s="42" t="inlineStr">
        <is>
          <t>https://www.bauhaus.dk/stabilit-wire-fz-2-mm-pr-m</t>
        </is>
      </c>
      <c r="M22" s="43" t="inlineStr">
        <is>
          <t>https://www.silvan.dk/produkt/pn-beslag-wire-elforzinket-staal-2-mm-x-10-m-2721-1797278</t>
        </is>
      </c>
      <c r="N22" s="44" t="inlineStr">
        <is>
          <t>https://www.jemogfix.dk/staalwire-2-mm-x-10-meter/5131/9052827/</t>
        </is>
      </c>
      <c r="O22" s="45" t="inlineStr">
        <is>
          <t>Loop wire from anchor through box frame. Or use ratchet straps you already own.</t>
        </is>
      </c>
    </row>
    <row r="23" ht="21.75" customHeight="1" s="29">
      <c r="A23" s="33" t="inlineStr">
        <is>
          <t>LINER &amp; SOIL</t>
        </is>
      </c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5" t="n"/>
    </row>
    <row r="24" ht="42" customHeight="1" s="29">
      <c r="A24" s="46" t="n">
        <v>14</v>
      </c>
      <c r="B24" s="47" t="inlineStr">
        <is>
          <t>Plastfolie 0.2mm (2m×5m)</t>
        </is>
      </c>
      <c r="C24" s="48" t="inlineStr">
        <is>
          <t>Planter liner</t>
        </is>
      </c>
      <c r="D24" s="46" t="n">
        <v>1</v>
      </c>
      <c r="E24" s="46" t="inlineStr">
        <is>
          <t>roll</t>
        </is>
      </c>
      <c r="F24" s="39" t="n">
        <v>45</v>
      </c>
      <c r="G24" s="39">
        <f>D24*F24</f>
        <v/>
      </c>
      <c r="H24" s="40" t="n">
        <v>49</v>
      </c>
      <c r="I24" s="40">
        <f>D24*H24</f>
        <v/>
      </c>
      <c r="J24" s="41" t="n">
        <v>39</v>
      </c>
      <c r="K24" s="41">
        <f>D24*J24</f>
        <v/>
      </c>
      <c r="L24" s="42" t="inlineStr">
        <is>
          <t>https://www.bauhaus.dk/probau-byggefolie-oko-2x50-m</t>
        </is>
      </c>
      <c r="M24" s="43" t="inlineStr">
        <is>
          <t>https://www.silvan.dk/produkt/dampspaerre-plast-02x2000x25000-mm-5102-9856092</t>
        </is>
      </c>
      <c r="N24" s="44" t="inlineStr">
        <is>
          <t>https://www.jemogfix.dk/plastfolie-transparent-0-2-mm-2-x-10-m/4214/9011831/</t>
        </is>
      </c>
      <c r="O24" s="49" t="inlineStr">
        <is>
          <t>Lines inside above shelf — keeps soil off wood. Search "plastfolie bygge" in store.</t>
        </is>
      </c>
    </row>
    <row r="25" ht="42" customHeight="1" s="29">
      <c r="A25" s="36" t="n">
        <v>15</v>
      </c>
      <c r="B25" s="37" t="inlineStr">
        <is>
          <t>Plantejord 40L pose</t>
        </is>
      </c>
      <c r="C25" s="38" t="inlineStr">
        <is>
          <t>Soil for planters</t>
        </is>
      </c>
      <c r="D25" s="36" t="n">
        <v>2</v>
      </c>
      <c r="E25" s="36" t="inlineStr">
        <is>
          <t>bags</t>
        </is>
      </c>
      <c r="F25" s="39" t="n">
        <v>50</v>
      </c>
      <c r="G25" s="39">
        <f>D25*F25</f>
        <v/>
      </c>
      <c r="H25" s="40" t="n">
        <v>55</v>
      </c>
      <c r="I25" s="40">
        <f>D25*H25</f>
        <v/>
      </c>
      <c r="J25" s="41" t="n">
        <v>45</v>
      </c>
      <c r="K25" s="41">
        <f>D25*J25</f>
        <v/>
      </c>
      <c r="L25" s="42" t="inlineStr">
        <is>
          <t>https://www.bauhaus.dk/gardol-plantejord-40-l</t>
        </is>
      </c>
      <c r="M25" s="43" t="inlineStr">
        <is>
          <t>https://www.silvan.dk/produkt/weibulls-plantejord-40-l-7280-2007283</t>
        </is>
      </c>
      <c r="N25" s="44" t="inlineStr">
        <is>
          <t>https://www.jemogfix.dk/plantesaek-40-liter-groenne-fingre/2180/9037452/</t>
        </is>
      </c>
      <c r="O25" s="45" t="inlineStr">
        <is>
          <t>~40L per box. Plant herbs, strawberries, flowers!</t>
        </is>
      </c>
    </row>
    <row r="27" ht="30" customHeight="1" s="29">
      <c r="A27" s="50" t="inlineStr">
        <is>
          <t>ESTIMATED TOTAL</t>
        </is>
      </c>
      <c r="B27" s="34" t="n"/>
      <c r="C27" s="34" t="n"/>
      <c r="D27" s="34" t="n"/>
      <c r="E27" s="35" t="n"/>
      <c r="F27" s="50" t="n"/>
      <c r="G27" s="51">
        <f>SUM(G5,G7,G9,G11,G13,G14,G15,G16,G17,G18,G20,G21,G22,G24,G25)</f>
        <v/>
      </c>
      <c r="H27" s="50" t="n"/>
      <c r="I27" s="51">
        <f>SUM(I5,I7,I9,I11,I13,I14,I15,I16,I17,I18,I20,I21,I22,I24,I25)</f>
        <v/>
      </c>
      <c r="J27" s="50" t="n"/>
      <c r="K27" s="51">
        <f>SUM(K5,K7,K9,K11,K13,K14,K15,K16,K17,K18,K20,K21,K22,K24,K25)</f>
        <v/>
      </c>
      <c r="L27" s="50" t="n"/>
      <c r="M27" s="50" t="n"/>
      <c r="N27" s="50" t="n"/>
      <c r="O27" s="50" t="n"/>
    </row>
    <row r="28" ht="15" customHeight="1" s="29">
      <c r="A28" s="52" t="inlineStr">
        <is>
          <t>CHEAPEST →</t>
        </is>
      </c>
      <c r="B28" s="34" t="n"/>
      <c r="C28" s="34" t="n"/>
      <c r="D28" s="34" t="n"/>
      <c r="E28" s="35" t="n"/>
      <c r="F28" s="53" t="n"/>
      <c r="G28" s="53" t="n"/>
      <c r="H28" s="53" t="n"/>
      <c r="I28" s="53" t="n"/>
      <c r="J28" s="54" t="inlineStr">
        <is>
          <t>★ WINNER</t>
        </is>
      </c>
      <c r="K28" s="35" t="n"/>
      <c r="L28" s="53" t="n"/>
      <c r="M28" s="53" t="n"/>
      <c r="N28" s="53" t="n"/>
      <c r="O28" s="53" t="n"/>
    </row>
    <row r="29" ht="15" customHeight="1" s="29">
      <c r="A29" s="55" t="inlineStr">
        <is>
          <t>Savings vs most expensive</t>
        </is>
      </c>
      <c r="B29" s="34" t="n"/>
      <c r="C29" s="34" t="n"/>
      <c r="D29" s="34" t="n"/>
      <c r="E29" s="35" t="n"/>
      <c r="F29" s="53" t="n"/>
      <c r="G29" s="56">
        <f>MAX(G27,I27,K27)-G27</f>
        <v/>
      </c>
      <c r="H29" s="53" t="n"/>
      <c r="I29" s="56">
        <f>MAX(G27,I27,K27)-I27</f>
        <v/>
      </c>
      <c r="J29" s="53" t="n"/>
      <c r="K29" s="56">
        <f>MAX(G27,I27,K27)-K27</f>
        <v/>
      </c>
      <c r="L29" s="53" t="n"/>
      <c r="M29" s="53" t="n"/>
      <c r="N29" s="53" t="n"/>
      <c r="O29" s="53" t="n"/>
    </row>
    <row r="31" ht="15" customHeight="1" s="29">
      <c r="A31" s="57" t="inlineStr">
        <is>
          <t>NOTES &amp; TIPS</t>
        </is>
      </c>
    </row>
    <row r="32" ht="19.5" customHeight="1" s="29">
      <c r="A32" s="58" t="inlineStr">
        <is>
          <t>VOLVO FIT: Cladding &amp; pickets are 1800mm — fit flat in the V70. Reglar are 2400mm (shortest stock) — stick out ~60cm with tailgate open. Tie a red rag on the ends!</t>
        </is>
      </c>
    </row>
    <row r="33" ht="19.5" customHeight="1" s="29">
      <c r="A33" s="58" t="inlineStr">
        <is>
          <t>CUT PLAN: Reglar cut into 2×1200mm (zero waste). Cladding/pickets cut 1×1200mm each. Shelf boards cut into 6×~310mm.</t>
        </is>
      </c>
    </row>
    <row r="34" ht="19.5" customHeight="1" s="29">
      <c r="A34" s="58" t="inlineStr">
        <is>
          <t>ANCHORING: 4 fliser inside (2/box ≈ 30kg) + 4 ground spikes = very stable. No rocks needed.</t>
        </is>
      </c>
    </row>
    <row r="35" ht="19.5" customHeight="1" s="29">
      <c r="A35" s="58" t="inlineStr">
        <is>
          <t>HEIGHT 120cm: Gine's call. Deeper soil for plants + harder for Arthur to climb over.</t>
        </is>
      </c>
    </row>
    <row r="36" ht="19.5" customHeight="1" s="29">
      <c r="A36" s="58" t="inlineStr">
        <is>
          <t>LINKS: Bauhaus, Silvan and Jem &amp; Fix links are clickable in columns L-N. Some link to category pages — search the product name in store.</t>
        </is>
      </c>
    </row>
    <row r="37" ht="19.5" customHeight="1" s="29">
      <c r="A37" s="58" t="inlineStr">
        <is>
          <t>FREE TRAILER: All 3 stores offer Freetrailer loans. But you only truly need it if buying &gt;2400mm lumber.</t>
        </is>
      </c>
    </row>
    <row r="38" ht="19.5" customHeight="1" s="29">
      <c r="A38" s="58" t="inlineStr">
        <is>
          <t>STORE TIP: Jem &amp; Fix cheapest but self-service. Bauhaus has a sawmill (savværk). Silvan staff can advise.</t>
        </is>
      </c>
    </row>
    <row r="39" ht="19.5" customHeight="1" s="29">
      <c r="A39" s="58" t="inlineStr">
        <is>
          <t>WOOD: NTR class A for ground contact, AB minimum for above-ground. Green-tinted = standard.</t>
        </is>
      </c>
    </row>
  </sheetData>
  <mergeCells count="22">
    <mergeCell ref="A37:O37"/>
    <mergeCell ref="J28:K28"/>
    <mergeCell ref="A12:O12"/>
    <mergeCell ref="A2:O2"/>
    <mergeCell ref="A33:O33"/>
    <mergeCell ref="A23:O23"/>
    <mergeCell ref="A32:O32"/>
    <mergeCell ref="A8:O8"/>
    <mergeCell ref="A4:O4"/>
    <mergeCell ref="A27:E27"/>
    <mergeCell ref="A35:O35"/>
    <mergeCell ref="A38:O38"/>
    <mergeCell ref="A10:O10"/>
    <mergeCell ref="A19:O19"/>
    <mergeCell ref="A31:O31"/>
    <mergeCell ref="A34:O34"/>
    <mergeCell ref="A39:O39"/>
    <mergeCell ref="A29:E29"/>
    <mergeCell ref="A28:E28"/>
    <mergeCell ref="A36:O36"/>
    <mergeCell ref="A1:O1"/>
    <mergeCell ref="A6:O6"/>
  </mergeCells>
  <hyperlinks>
    <hyperlink xmlns:r="http://schemas.openxmlformats.org/officeDocument/2006/relationships" ref="L5" display="https://www.bauhaus.dk/froslev-reglar-fyr-hovlet-a-b-45x95x2400-mm" r:id="rId1"/>
    <hyperlink xmlns:r="http://schemas.openxmlformats.org/officeDocument/2006/relationships" ref="M5" display="https://www.silvan.dk/produkt/froeslev-reglar-45x95-mm-trykimpraegneret-hoevlet-7710-9850952" r:id="rId2"/>
    <hyperlink xmlns:r="http://schemas.openxmlformats.org/officeDocument/2006/relationships" ref="N5" display="https://www.jemogfix.dk/impraegneret-reglar-45-x-95-x-2400-mm/4310/9057358/" r:id="rId3"/>
    <hyperlink xmlns:r="http://schemas.openxmlformats.org/officeDocument/2006/relationships" ref="L7" display="https://www.bauhaus.dk/froslev-hegnsbraedder-1800x100x16-mm" r:id="rId4"/>
    <hyperlink xmlns:r="http://schemas.openxmlformats.org/officeDocument/2006/relationships" ref="M7" display="https://www.silvan.dk/ft-braedder-trykimpraegneret-gran-100-mm-1800-mm-16-mm?id=7710-9805872" r:id="rId5"/>
    <hyperlink xmlns:r="http://schemas.openxmlformats.org/officeDocument/2006/relationships" ref="N7" display="https://www.jemogfix.dk/imp-ru-braedder-16-x-100-x-1800-mm/4310/9057351/" r:id="rId6"/>
    <hyperlink xmlns:r="http://schemas.openxmlformats.org/officeDocument/2006/relationships" ref="L9" display="https://www.bauhaus.dk/froslev-hegnsbraedder-1800x100x16-mm" r:id="rId7"/>
    <hyperlink xmlns:r="http://schemas.openxmlformats.org/officeDocument/2006/relationships" ref="M9" display="https://www.silvan.dk/ft-braedder-trykimpraegneret-gran-100-mm-1800-mm-16-mm?id=7710-9805872" r:id="rId8"/>
    <hyperlink xmlns:r="http://schemas.openxmlformats.org/officeDocument/2006/relationships" ref="N9" display="https://www.jemogfix.dk/imp-ru-braedder-16-x-100-x-1800-mm/4310/9057351/" r:id="rId9"/>
    <hyperlink xmlns:r="http://schemas.openxmlformats.org/officeDocument/2006/relationships" ref="L11" r:id="rId10"/>
    <hyperlink xmlns:r="http://schemas.openxmlformats.org/officeDocument/2006/relationships" ref="M11" display="https://www.silvan.dk/produkt/froeslev-forskallingsbraet-15x95x1800-mm-trykimpraegneret-hoevlet-7710-9421711" r:id="rId11"/>
    <hyperlink xmlns:r="http://schemas.openxmlformats.org/officeDocument/2006/relationships" ref="N11" r:id="rId12"/>
    <hyperlink xmlns:r="http://schemas.openxmlformats.org/officeDocument/2006/relationships" ref="L13" display="https://www.bauhaus.dk/pn-t-haengsel-12-galvaniseret-310-mm" r:id="rId13"/>
    <hyperlink xmlns:r="http://schemas.openxmlformats.org/officeDocument/2006/relationships" ref="M13" r:id="rId14"/>
    <hyperlink xmlns:r="http://schemas.openxmlformats.org/officeDocument/2006/relationships" ref="N13" display="https://www.jemogfix.dk/t-haengsel-300-mm-galvaniseret/5100/9052868/" r:id="rId15"/>
    <hyperlink xmlns:r="http://schemas.openxmlformats.org/officeDocument/2006/relationships" ref="L14" r:id="rId16"/>
    <hyperlink xmlns:r="http://schemas.openxmlformats.org/officeDocument/2006/relationships" ref="M14" r:id="rId17"/>
    <hyperlink xmlns:r="http://schemas.openxmlformats.org/officeDocument/2006/relationships" ref="N14" display="https://www.jemogfix.dk/stalddoersgreb-til-doere-paa-40-90-mm/5100/9052881/" r:id="rId18"/>
    <hyperlink xmlns:r="http://schemas.openxmlformats.org/officeDocument/2006/relationships" ref="L15" r:id="rId19"/>
    <hyperlink xmlns:r="http://schemas.openxmlformats.org/officeDocument/2006/relationships" ref="M15" r:id="rId20"/>
    <hyperlink xmlns:r="http://schemas.openxmlformats.org/officeDocument/2006/relationships" ref="N15" display="https://www.jemogfix.dk/skudrigle-150-mm/5109/9052891/" r:id="rId21"/>
    <hyperlink xmlns:r="http://schemas.openxmlformats.org/officeDocument/2006/relationships" ref="L16" r:id="rId22"/>
    <hyperlink xmlns:r="http://schemas.openxmlformats.org/officeDocument/2006/relationships" ref="M16" r:id="rId23"/>
    <hyperlink xmlns:r="http://schemas.openxmlformats.org/officeDocument/2006/relationships" ref="N16" display="https://www.jemogfix.dk/beslag-til-havelaage/5109/9045542/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N17" r:id="rId27"/>
    <hyperlink xmlns:r="http://schemas.openxmlformats.org/officeDocument/2006/relationships" ref="L18" r:id="rId28"/>
    <hyperlink xmlns:r="http://schemas.openxmlformats.org/officeDocument/2006/relationships" ref="M18" r:id="rId29"/>
    <hyperlink xmlns:r="http://schemas.openxmlformats.org/officeDocument/2006/relationships" ref="N18" r:id="rId30"/>
    <hyperlink xmlns:r="http://schemas.openxmlformats.org/officeDocument/2006/relationships" ref="L20" display="https://www.bauhaus.dk/ibf-betonflise-gra-40-x-40-x-6-cm" r:id="rId31"/>
    <hyperlink xmlns:r="http://schemas.openxmlformats.org/officeDocument/2006/relationships" ref="M20" r:id="rId32"/>
    <hyperlink xmlns:r="http://schemas.openxmlformats.org/officeDocument/2006/relationships" ref="N20" r:id="rId33"/>
    <hyperlink xmlns:r="http://schemas.openxmlformats.org/officeDocument/2006/relationships" ref="L21" r:id="rId34"/>
    <hyperlink xmlns:r="http://schemas.openxmlformats.org/officeDocument/2006/relationships" ref="M21" r:id="rId35"/>
    <hyperlink xmlns:r="http://schemas.openxmlformats.org/officeDocument/2006/relationships" ref="N21" r:id="rId36"/>
    <hyperlink xmlns:r="http://schemas.openxmlformats.org/officeDocument/2006/relationships" ref="L22" r:id="rId37"/>
    <hyperlink xmlns:r="http://schemas.openxmlformats.org/officeDocument/2006/relationships" ref="M22" r:id="rId38"/>
    <hyperlink xmlns:r="http://schemas.openxmlformats.org/officeDocument/2006/relationships" ref="N22" r:id="rId39"/>
    <hyperlink xmlns:r="http://schemas.openxmlformats.org/officeDocument/2006/relationships" ref="L24" r:id="rId40"/>
    <hyperlink xmlns:r="http://schemas.openxmlformats.org/officeDocument/2006/relationships" ref="M24" r:id="rId41"/>
    <hyperlink xmlns:r="http://schemas.openxmlformats.org/officeDocument/2006/relationships" ref="N24" r:id="rId42"/>
    <hyperlink xmlns:r="http://schemas.openxmlformats.org/officeDocument/2006/relationships" ref="L25" r:id="rId43"/>
    <hyperlink xmlns:r="http://schemas.openxmlformats.org/officeDocument/2006/relationships" ref="M25" r:id="rId44"/>
    <hyperlink xmlns:r="http://schemas.openxmlformats.org/officeDocument/2006/relationships" ref="N25" r:id="rId4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2026-02-27T19:44:16Z</dcterms:created>
  <dcterms:modified xmlns:dcterms="http://purl.org/dc/terms/" xmlns:xsi="http://www.w3.org/2001/XMLSchema-instance" xsi:type="dcterms:W3CDTF">2026-02-27T20:40:47Z</dcterms:modified>
  <cp:revision>0</cp:revision>
</cp:coreProperties>
</file>